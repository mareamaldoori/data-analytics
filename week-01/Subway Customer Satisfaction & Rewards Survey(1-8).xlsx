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mc:AlternateContent xmlns:mc="http://schemas.openxmlformats.org/markup-compatibility/2006">
    <mc:Choice Requires="x15">
      <x15ac:absPath xmlns:x15ac="http://schemas.microsoft.com/office/spreadsheetml/2010/11/ac" url="C:\Users\qinzen\Downloads\"/>
    </mc:Choice>
  </mc:AlternateContent>
  <xr:revisionPtr revIDLastSave="0" documentId="8_{8050B03B-5716-45CA-B6BA-F74BB36D41E1}" xr6:coauthVersionLast="47" xr6:coauthVersionMax="47" xr10:uidLastSave="{00000000-0000-0000-0000-000000000000}"/>
  <bookViews>
    <workbookView xWindow="0" yWindow="0" windowWidth="28800" windowHeight="13905" firstSheet="2" activeTab="2" xr2:uid="{00000000-000D-0000-FFFF-FFFF00000000}"/>
  </bookViews>
  <sheets>
    <sheet name="Sheet1" sheetId="1" r:id="rId1"/>
    <sheet name="Q&amp;A" sheetId="2" r:id="rId2"/>
    <sheet name="PivotChart" sheetId="3" r:id="rId3"/>
  </sheets>
  <calcPr calcId="191028"/>
  <pivotCaches>
    <pivotCache cacheId="1183"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 i="1" l="1"/>
  <c r="J11" i="1"/>
  <c r="J10" i="1"/>
  <c r="H11" i="1"/>
  <c r="H10" i="1"/>
  <c r="N10" i="1"/>
  <c r="M10" i="1"/>
  <c r="D2" i="1"/>
  <c r="D3" i="1"/>
  <c r="D4" i="1"/>
  <c r="D5" i="1"/>
  <c r="D6" i="1"/>
  <c r="D7" i="1"/>
  <c r="D8" i="1"/>
  <c r="D9" i="1"/>
  <c r="D10" i="1" l="1"/>
</calcChain>
</file>

<file path=xl/sharedStrings.xml><?xml version="1.0" encoding="utf-8"?>
<sst xmlns="http://schemas.openxmlformats.org/spreadsheetml/2006/main" count="87" uniqueCount="65">
  <si>
    <t>ID</t>
  </si>
  <si>
    <t>Start time</t>
  </si>
  <si>
    <t>Completion time</t>
  </si>
  <si>
    <t>Time to complete</t>
  </si>
  <si>
    <t>Email</t>
  </si>
  <si>
    <t>Name</t>
  </si>
  <si>
    <t>Last modified time</t>
  </si>
  <si>
    <t>How often do you visit Subway?</t>
  </si>
  <si>
    <t>What is the main reason you choose Subway?</t>
  </si>
  <si>
    <t>How do you feel about Subway's current prices?</t>
  </si>
  <si>
    <t>Which benefits would interest you most in a loyalty program?</t>
  </si>
  <si>
    <t>How would you prefer to receive rewards and special offers?</t>
  </si>
  <si>
    <t>How likely are you to recommend Subway to a friend or a family member?</t>
  </si>
  <si>
    <t>How would you rate the customer service during your most recent visit?</t>
  </si>
  <si>
    <t>What would make your Subway experience better?</t>
  </si>
  <si>
    <t>mpena1@my.yearupunited.org</t>
  </si>
  <si>
    <t>matthew pena</t>
  </si>
  <si>
    <t>Monthly</t>
  </si>
  <si>
    <t>Ability to customize my sandwich;Freah ingredients;Affordable prices;Convenience;</t>
  </si>
  <si>
    <t>Reasonable</t>
  </si>
  <si>
    <t>Buy 2 sandwiches, get 1/2 free</t>
  </si>
  <si>
    <t>Mobile app</t>
  </si>
  <si>
    <t>N/A</t>
  </si>
  <si>
    <t>icolman@my.yearupunited.org</t>
  </si>
  <si>
    <t>israel colman</t>
  </si>
  <si>
    <t>Daily</t>
  </si>
  <si>
    <t>Affordable prices;Ability to customize my sandwich;</t>
  </si>
  <si>
    <t>buy one footlong get 1 free</t>
  </si>
  <si>
    <t>a subway app</t>
  </si>
  <si>
    <t>two lines</t>
  </si>
  <si>
    <t>amartinez5@my.yearupunited.org</t>
  </si>
  <si>
    <t>alizon martinez</t>
  </si>
  <si>
    <t>Ability to customize my sandwich;Convenience;</t>
  </si>
  <si>
    <t>A little expensive</t>
  </si>
  <si>
    <t>Earn points for redemption </t>
  </si>
  <si>
    <t>Through text</t>
  </si>
  <si>
    <t xml:space="preserve">Fresher ingredients </t>
  </si>
  <si>
    <t>sakrami@my.yearupunited.org</t>
  </si>
  <si>
    <t>sayaeedarashullah akrami</t>
  </si>
  <si>
    <t>Never</t>
  </si>
  <si>
    <t>Convenience;</t>
  </si>
  <si>
    <t>Free birthday meal</t>
  </si>
  <si>
    <t>mcapar@my.yearupunited.org</t>
  </si>
  <si>
    <t>meric capar</t>
  </si>
  <si>
    <t>Weekly</t>
  </si>
  <si>
    <t>Very affordable</t>
  </si>
  <si>
    <t>email</t>
  </si>
  <si>
    <t>slopezchavoya@my.yearupunited.org</t>
  </si>
  <si>
    <t>stephanie lopezchavoya</t>
  </si>
  <si>
    <t>Fresh ingredients;Affordable prices;</t>
  </si>
  <si>
    <t>Physical card</t>
  </si>
  <si>
    <t>Faster food speed</t>
  </si>
  <si>
    <t>fkhan@my.yearupunited.org</t>
  </si>
  <si>
    <t>faiz khan</t>
  </si>
  <si>
    <t xml:space="preserve">a QR scan sent through messages </t>
  </si>
  <si>
    <t>Value items</t>
  </si>
  <si>
    <t>naweke@my.yearupunited.org</t>
  </si>
  <si>
    <t>netsa aweke</t>
  </si>
  <si>
    <t>Fresh ingredients;</t>
  </si>
  <si>
    <t>As The first column represnts an ID assigned to the person who completed the survey, the second column represents the start time of the survey and the third coloumn represnts the end time of the survey. The ID column was included to provide each person with a unique number to represent them.</t>
  </si>
  <si>
    <t>When I changed it to short date the dip;ay changed to dates only rather than the original setting "General" where it displayed date and time.</t>
  </si>
  <si>
    <t xml:space="preserve">When I changed the setting back to general I got </t>
  </si>
  <si>
    <t xml:space="preserve">Although I don't need a leading 0 infront of the date since my date already containes two digites but I was able to find the closest option to the requested format to be the 6th option down. </t>
  </si>
  <si>
    <t>Count of Name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</si>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</sst>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45" fontId="0" fillId="0" borderId="0" xfId="0" applyNumberFormat="1"/>
    <xf numFmtId="0" fontId="0" fillId="0" borderId="0" xfId="0" pivotButton="1"/>
    <xf numFmtId="0" fontId="0" fillId="0" borderId="0" xfId="0" applyNumberFormat="1"/>
  </cellXfs>
  <cellStyles count="1">
    <cellStyle name="Normal" xfId="0" builtinId="0"/>
  </cellStyles>
  <dxfs count="3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0" formatCode="General"/>
    </dxf>
    <dxf>
      <numFmt numFmtId="0" formatCode="General"/>
    </dxf>
    <dxf>
      <numFmt numFmtId="0" formatCode="General"/>
    </dxf>
    <dxf>
      <numFmt numFmtId="0" formatCode="General"/>
    </dxf>
    <dxf>
      <numFmt numFmtId="28" formatCode="mm:ss"/>
    </dxf>
    <dxf>
      <numFmt numFmtId="28" formatCode="mm:ss"/>
    </dxf>
    <dxf>
      <numFmt numFmtId="164" formatCode="m/d/yy\ h:mm:ss"/>
    </dxf>
    <dxf>
      <numFmt numFmtId="164" formatCode="m/d/yy\ h:mm:ss"/>
    </dxf>
    <dxf>
      <numFmt numFmtId="164" formatCode="m/d/yy\ h:mm:ss"/>
    </dxf>
    <dxf>
      <numFmt numFmtId="164" formatCode="m/d/yy\ h:mm:ss"/>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[Subway Customer Satisfaction &amp; Rewards Survey(1-8).xlsx]PivotChart!PivotTable1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Subway Customer Visit Frequency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PivotChart!$B$2</c:f>
              <c:strCache>
                <c:ptCount val="1"/>
                <c:pt idx="0">
                  <c:v>Total</c:v>
                </c:pt>
              </c:strCache>
            </c:strRef>
          </c:tx>
          <c:spPr>
            <a:solidFill>
              <a:schemeClr val="accent1"/>
            </a:solidFill>
            <a:ln>
              <a:noFill/>
            </a:ln>
            <a:effectLst/>
          </c:spPr>
          <c:invertIfNegative val="0"/>
          <c:cat>
            <c:strRef>
              <c:f>PivotChart!$A$3:$A$7</c:f>
              <c:strCache>
                <c:ptCount val="4"/>
                <c:pt idx="0">
                  <c:v>Daily</c:v>
                </c:pt>
                <c:pt idx="1">
                  <c:v>Monthly</c:v>
                </c:pt>
                <c:pt idx="2">
                  <c:v>Never</c:v>
                </c:pt>
                <c:pt idx="3">
                  <c:v>Weekly</c:v>
                </c:pt>
              </c:strCache>
            </c:strRef>
          </c:cat>
          <c:val>
            <c:numRef>
              <c:f>PivotChart!$B$3:$B$7</c:f>
              <c:numCache>
                <c:formatCode>General</c:formatCode>
                <c:ptCount val="4"/>
                <c:pt idx="0">
                  <c:v>1</c:v>
                </c:pt>
                <c:pt idx="1">
                  <c:v>2</c:v>
                </c:pt>
                <c:pt idx="2">
                  <c:v>1</c:v>
                </c:pt>
                <c:pt idx="3">
                  <c:v>4</c:v>
                </c:pt>
              </c:numCache>
            </c:numRef>
          </c:val>
          <c:extLst>
            <c:ext xmlns:c16="http://schemas.microsoft.com/office/drawing/2014/chart" uri="{C3380CC4-5D6E-409C-BE32-E72D297353CC}">
              <c16:uniqueId val="{00000000-2833-4546-BBFF-9ADD0513AAF5}"/>
            </c:ext>
          </c:extLst>
        </c:ser>
        <c:dLbls>
          <c:showLegendKey val="0"/>
          <c:showVal val="0"/>
          <c:showCatName val="0"/>
          <c:showSerName val="0"/>
          <c:showPercent val="0"/>
          <c:showBubbleSize val="0"/>
        </c:dLbls>
        <c:gapWidth val="219"/>
        <c:overlap val="-27"/>
        <c:axId val="1427171336"/>
        <c:axId val="396361735"/>
      </c:barChart>
      <c:catAx>
        <c:axId val="1427171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361735"/>
        <c:crosses val="autoZero"/>
        <c:auto val="1"/>
        <c:lblAlgn val="ctr"/>
        <c:lblOffset val="100"/>
        <c:noMultiLvlLbl val="0"/>
      </c:catAx>
      <c:valAx>
        <c:axId val="396361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171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266700</xdr:colOff>
      <xdr:row>1</xdr:row>
      <xdr:rowOff>152400</xdr:rowOff>
    </xdr:from>
    <xdr:to>
      <xdr:col>14</xdr:col>
      <xdr:colOff>180975</xdr:colOff>
      <xdr:row>22</xdr:row>
      <xdr:rowOff>0</xdr:rowOff>
    </xdr:to>
    <xdr:graphicFrame macro="">
      <xdr:nvGraphicFramePr>
        <xdr:cNvPr id="2" name="Chart 1">
          <a:extLst>
            <a:ext uri="{FF2B5EF4-FFF2-40B4-BE49-F238E27FC236}">
              <a16:creationId xmlns:a16="http://schemas.microsoft.com/office/drawing/2014/main" id="{AA570618-AE2B-A9BB-4B85-E4DC1E5FE2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20.542740393517" createdVersion="8" refreshedVersion="8" minRefreshableVersion="3" recordCount="8" xr:uid="{475E6DE6-81B0-47A5-96EF-264FD39F0704}">
  <cacheSource type="worksheet">
    <worksheetSource name="Table1"/>
  </cacheSource>
  <cacheFields count="15">
    <cacheField name="ID" numFmtId="0">
      <sharedItems containsSemiMixedTypes="0" containsString="0" containsNumber="1" containsInteger="1" minValue="1" maxValue="8"/>
    </cacheField>
    <cacheField name="Start time" numFmtId="164">
      <sharedItems containsSemiMixedTypes="0" containsNonDate="0" containsDate="1" containsString="0" minDate="2026-10-18T21:52:16" maxDate="2026-10-20T11:58:39"/>
    </cacheField>
    <cacheField name="Completion time" numFmtId="164">
      <sharedItems containsSemiMixedTypes="0" containsNonDate="0" containsDate="1" containsString="0" minDate="2026-10-18T21:57:11" maxDate="2026-10-20T23:35:22"/>
    </cacheField>
    <cacheField name="Time to complete" numFmtId="45">
      <sharedItems containsSemiMixedTypes="0" containsNonDate="0" containsDate="1" containsString="0" minDate="1899-12-30T00:00:38" maxDate="1899-12-30T11:39:02"/>
    </cacheField>
    <cacheField name="Email" numFmtId="0">
      <sharedItems/>
    </cacheField>
    <cacheField name="Name" numFmtId="0">
      <sharedItems/>
    </cacheField>
    <cacheField name="Last modified time" numFmtId="164">
      <sharedItems containsNonDate="0" containsString="0" containsBlank="1"/>
    </cacheField>
    <cacheField name="How often do you visit Subway?" numFmtId="0">
      <sharedItems count="4">
        <s v="Monthly"/>
        <s v="Daily"/>
        <s v="Never"/>
        <s v="Weekly"/>
      </sharedItems>
    </cacheField>
    <cacheField name="What is the main reason you choose Subway?" numFmtId="0">
      <sharedItems/>
    </cacheField>
    <cacheField name="How do you feel about Subway's current prices?" numFmtId="0">
      <sharedItems/>
    </cacheField>
    <cacheField name="Which benefits would interest you most in a loyalty program?" numFmtId="0">
      <sharedItems/>
    </cacheField>
    <cacheField name="How would you prefer to receive rewards and special offers?" numFmtId="0">
      <sharedItems containsBlank="1"/>
    </cacheField>
    <cacheField name="How likely are you to recommend Subway to a friend or a family member?" numFmtId="0">
      <sharedItems containsSemiMixedTypes="0" containsString="0" containsNumber="1" containsInteger="1" minValue="2" maxValue="5"/>
    </cacheField>
    <cacheField name="How would you rate the customer service during your most recent visit?" numFmtId="0">
      <sharedItems containsSemiMixedTypes="0" containsString="0" containsNumber="1" containsInteger="1" minValue="3" maxValue="5"/>
    </cacheField>
    <cacheField name="What would make your Subway experience better?" numFmtId="0">
      <sharedItems containsBlank="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
    <d v="2026-10-18T21:52:16"/>
    <d v="2026-10-18T21:57:11"/>
    <d v="1899-12-30T00:04:55"/>
    <s v="mpena1@my.yearupunited.org"/>
    <s v="matthew pena"/>
    <m/>
    <x v="0"/>
    <s v="Ability to customize my sandwich;Freah ingredients;Affordable prices;Convenience;"/>
    <s v="Reasonable"/>
    <s v="Buy 2 sandwiches, get 1/2 free"/>
    <s v="Mobile app"/>
    <n v="3"/>
    <n v="4"/>
    <s v="N/A"/>
  </r>
  <r>
    <n v="2"/>
    <d v="2026-10-18T22:10:31"/>
    <d v="2026-10-18T22:12:32"/>
    <d v="1899-12-30T00:02:01"/>
    <s v="icolman@my.yearupunited.org"/>
    <s v="israel colman"/>
    <m/>
    <x v="1"/>
    <s v="Affordable prices;Ability to customize my sandwich;"/>
    <s v="Reasonable"/>
    <s v="buy one footlong get 1 free"/>
    <s v="a subway app"/>
    <n v="5"/>
    <n v="3"/>
    <s v="two lines"/>
  </r>
  <r>
    <n v="3"/>
    <d v="2026-10-18T22:30:41"/>
    <d v="2026-10-18T22:31:54"/>
    <d v="1899-12-30T00:01:13"/>
    <s v="amartinez5@my.yearupunited.org"/>
    <s v="alizon martinez"/>
    <m/>
    <x v="0"/>
    <s v="Ability to customize my sandwich;Convenience;"/>
    <s v="A little expensive"/>
    <s v="Earn points for redemption "/>
    <s v="Through text"/>
    <n v="3"/>
    <n v="4"/>
    <s v="Fresher ingredients "/>
  </r>
  <r>
    <n v="4"/>
    <d v="2026-10-20T11:55:57"/>
    <d v="2026-10-20T11:56:48"/>
    <d v="1899-12-30T00:00:51"/>
    <s v="sakrami@my.yearupunited.org"/>
    <s v="sayaeedarashullah akrami"/>
    <m/>
    <x v="2"/>
    <s v="Convenience;"/>
    <s v="Reasonable"/>
    <s v="Free birthday meal"/>
    <m/>
    <n v="2"/>
    <n v="3"/>
    <m/>
  </r>
  <r>
    <n v="5"/>
    <d v="2026-10-20T11:56:33"/>
    <d v="2026-10-20T11:57:11"/>
    <d v="1899-12-30T00:00:38"/>
    <s v="mcapar@my.yearupunited.org"/>
    <s v="meric capar"/>
    <m/>
    <x v="3"/>
    <s v="Affordable prices;Ability to customize my sandwich;"/>
    <s v="Very affordable"/>
    <s v="Free birthday meal"/>
    <s v="email"/>
    <n v="4"/>
    <n v="4"/>
    <m/>
  </r>
  <r>
    <n v="6"/>
    <d v="2026-10-20T11:56:01"/>
    <d v="2026-10-20T11:57:25"/>
    <d v="1899-12-30T00:01:24"/>
    <s v="slopezchavoya@my.yearupunited.org"/>
    <s v="stephanie lopezchavoya"/>
    <m/>
    <x v="3"/>
    <s v="Fresh ingredients;Affordable prices;"/>
    <s v="Reasonable"/>
    <s v="Buy 2 sandwiches, get 1/2 free"/>
    <s v="Physical card"/>
    <n v="4"/>
    <n v="4"/>
    <s v="Faster food speed"/>
  </r>
  <r>
    <n v="7"/>
    <d v="2026-10-20T11:58:39"/>
    <d v="2026-10-20T11:59:27"/>
    <d v="1899-12-30T00:00:48"/>
    <s v="fkhan@my.yearupunited.org"/>
    <s v="faiz khan"/>
    <m/>
    <x v="3"/>
    <s v="Fresh ingredients;Affordable prices;"/>
    <s v="Reasonable"/>
    <s v="Free birthday meal"/>
    <s v="a QR scan sent through messages "/>
    <n v="4"/>
    <n v="4"/>
    <s v="Value items"/>
  </r>
  <r>
    <n v="8"/>
    <d v="2026-10-20T11:56:20"/>
    <d v="2026-10-20T23:35:22"/>
    <d v="1899-12-30T11:39:02"/>
    <s v="naweke@my.yearupunited.org"/>
    <s v="netsa aweke"/>
    <m/>
    <x v="3"/>
    <s v="Fresh ingredients;"/>
    <s v="Very affordable"/>
    <s v="Buy 2 sandwiches, get 1/2 free"/>
    <s v="N/A"/>
    <n v="5"/>
    <n v="5"/>
    <s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AEC4C0-5E22-4C75-9D85-9BF7B41FB8CB}" name="PivotTable1" cacheId="118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B7" firstHeaderRow="1" firstDataRow="1" firstDataCol="1"/>
  <pivotFields count="15">
    <pivotField compact="0" outline="0" showAll="0"/>
    <pivotField compact="0" numFmtId="164" outline="0" showAll="0"/>
    <pivotField compact="0" numFmtId="164" outline="0" showAll="0"/>
    <pivotField compact="0" numFmtId="45" outline="0" showAll="0"/>
    <pivotField compact="0" outline="0" showAll="0"/>
    <pivotField dataField="1" compact="0" outline="0" showAll="0"/>
    <pivotField compact="0" outline="0" showAll="0"/>
    <pivotField axis="axisRow" compact="0" outline="0" showAll="0">
      <items count="5">
        <item x="1"/>
        <item x="0"/>
        <item x="2"/>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5">
    <i>
      <x/>
    </i>
    <i>
      <x v="1"/>
    </i>
    <i>
      <x v="2"/>
    </i>
    <i>
      <x v="3"/>
    </i>
    <i t="grand">
      <x/>
    </i>
  </rowItems>
  <colItems count="1">
    <i/>
  </colItems>
  <dataFields count="1">
    <dataField name="Count of Name"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10" totalsRowCount="1">
  <autoFilter ref="A1:O9" xr:uid="{00000000-0009-0000-0100-000001000000}"/>
  <tableColumns count="15">
    <tableColumn id="1" xr3:uid="{00000000-0010-0000-0000-000001000000}" name="ID" dataDxfId="28" totalsRowDxfId="29"/>
    <tableColumn id="2" xr3:uid="{00000000-0010-0000-0000-000002000000}" name="Start time" dataDxfId="26" totalsRowDxfId="27"/>
    <tableColumn id="3" xr3:uid="{00000000-0010-0000-0000-000003000000}" name="Completion time" dataDxfId="24" totalsRowDxfId="25"/>
    <tableColumn id="15" xr3:uid="{6164A09A-89E7-46DB-97FC-CB0A87B6D414}" name="Time to complete" totalsRowFunction="custom" dataDxfId="22" totalsRowDxfId="23">
      <calculatedColumnFormula>C2-B2</calculatedColumnFormula>
      <totalsRowFormula>AVERAGE(D2:D9)</totalsRowFormula>
    </tableColumn>
    <tableColumn id="4" xr3:uid="{00000000-0010-0000-0000-000004000000}" name="Email" dataDxfId="20" totalsRowDxfId="21"/>
    <tableColumn id="5" xr3:uid="{00000000-0010-0000-0000-000005000000}" name="Name" dataDxfId="18" totalsRowDxfId="19"/>
    <tableColumn id="6" xr3:uid="{00000000-0010-0000-0000-000006000000}" name="Last modified time" dataDxfId="16" totalsRowDxfId="17"/>
    <tableColumn id="7" xr3:uid="{00000000-0010-0000-0000-000007000000}" name="How often do you visit Subway?" totalsRowFunction="custom" dataDxfId="14" totalsRowDxfId="15">
      <totalsRowFormula>COUNTIF(H2:H9,"weekly")</totalsRowFormula>
    </tableColumn>
    <tableColumn id="8" xr3:uid="{00000000-0010-0000-0000-000008000000}" name="What is the main reason you choose Subway?" dataDxfId="12" totalsRowDxfId="13"/>
    <tableColumn id="9" xr3:uid="{00000000-0010-0000-0000-000009000000}" name="How do you feel about Subway's current prices?" totalsRowFunction="custom" dataDxfId="10" totalsRowDxfId="11">
      <totalsRowFormula>COUNTIF(J2:J9,"Reasonable")</totalsRowFormula>
    </tableColumn>
    <tableColumn id="10" xr3:uid="{00000000-0010-0000-0000-00000A000000}" name="Which benefits would interest you most in a loyalty program?" dataDxfId="8" totalsRowDxfId="9"/>
    <tableColumn id="11" xr3:uid="{00000000-0010-0000-0000-00000B000000}" name="How would you prefer to receive rewards and special offers?" dataDxfId="6" totalsRowDxfId="7"/>
    <tableColumn id="12" xr3:uid="{00000000-0010-0000-0000-00000C000000}" name="How likely are you to recommend Subway to a friend or a family member?" totalsRowFunction="custom" dataDxfId="4" totalsRowDxfId="5">
      <totalsRowFormula>SUBTOTAL(101,M2:M9)</totalsRowFormula>
    </tableColumn>
    <tableColumn id="13" xr3:uid="{00000000-0010-0000-0000-00000D000000}" name="How would you rate the customer service during your most recent visit?" totalsRowFunction="custom" dataDxfId="2" totalsRowDxfId="3">
      <totalsRowFormula>SUBTOTAL(101,N2:N9)</totalsRowFormula>
    </tableColumn>
    <tableColumn id="14" xr3:uid="{00000000-0010-0000-0000-00000E000000}" name="What would make your Subway experience better?" dataDxfId="0" totalsRow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
  <sheetViews>
    <sheetView workbookViewId="0">
      <selection activeCell="F5" sqref="F5"/>
    </sheetView>
  </sheetViews>
  <sheetFormatPr defaultRowHeight="15"/>
  <cols>
    <col min="1" max="1" width="12.28515625" customWidth="1"/>
    <col min="2" max="3" width="20" bestFit="1" customWidth="1"/>
    <col min="4" max="4" width="25" customWidth="1"/>
    <col min="5" max="5" width="28.7109375" customWidth="1"/>
    <col min="6" max="6" width="43.42578125" customWidth="1"/>
    <col min="7" max="7" width="23.140625" customWidth="1"/>
    <col min="8" max="8" width="24.5703125" customWidth="1"/>
    <col min="9" max="9" width="20" bestFit="1" customWidth="1"/>
    <col min="10" max="10" width="54" customWidth="1"/>
    <col min="11" max="11" width="30.85546875" customWidth="1"/>
    <col min="12" max="12" width="32" customWidth="1"/>
    <col min="13" max="13" width="24.85546875" customWidth="1"/>
    <col min="14" max="14" width="25.28515625" customWidth="1"/>
    <col min="15" max="15" width="24" customWidth="1"/>
    <col min="16" max="16" width="30.140625" customWidth="1"/>
  </cols>
  <sheetData>
    <row r="1" spans="1:15">
      <c r="A1" t="s">
        <v>0</v>
      </c>
      <c r="B1" s="1" t="s">
        <v>1</v>
      </c>
      <c r="C1" t="s">
        <v>2</v>
      </c>
      <c r="D1" s="2" t="s">
        <v>3</v>
      </c>
      <c r="E1" t="s">
        <v>4</v>
      </c>
      <c r="F1" t="s">
        <v>5</v>
      </c>
      <c r="G1" t="s">
        <v>6</v>
      </c>
      <c r="H1" t="s">
        <v>7</v>
      </c>
      <c r="I1" t="s">
        <v>8</v>
      </c>
      <c r="J1" t="s">
        <v>9</v>
      </c>
      <c r="K1" t="s">
        <v>10</v>
      </c>
      <c r="L1" t="s">
        <v>11</v>
      </c>
      <c r="M1" t="s">
        <v>12</v>
      </c>
      <c r="N1" t="s">
        <v>13</v>
      </c>
      <c r="O1" t="s">
        <v>14</v>
      </c>
    </row>
    <row r="2" spans="1:15">
      <c r="A2">
        <v>1</v>
      </c>
      <c r="B2" s="1">
        <v>46313.911296296297</v>
      </c>
      <c r="C2" s="1">
        <v>46313.914710648147</v>
      </c>
      <c r="D2" s="2">
        <f>C2-B2</f>
        <v>3.4143518496421166E-3</v>
      </c>
      <c r="E2" t="s">
        <v>15</v>
      </c>
      <c r="F2" t="s">
        <v>16</v>
      </c>
      <c r="G2" s="1"/>
      <c r="H2" t="s">
        <v>17</v>
      </c>
      <c r="I2" t="s">
        <v>18</v>
      </c>
      <c r="J2" t="s">
        <v>19</v>
      </c>
      <c r="K2" t="s">
        <v>20</v>
      </c>
      <c r="L2" t="s">
        <v>21</v>
      </c>
      <c r="M2">
        <v>3</v>
      </c>
      <c r="N2">
        <v>4</v>
      </c>
      <c r="O2" t="s">
        <v>22</v>
      </c>
    </row>
    <row r="3" spans="1:15">
      <c r="A3">
        <v>2</v>
      </c>
      <c r="B3" s="1">
        <v>46313.92396990741</v>
      </c>
      <c r="C3" s="1">
        <v>46313.925370370373</v>
      </c>
      <c r="D3" s="2">
        <f>C3-B3</f>
        <v>1.4004629629198462E-3</v>
      </c>
      <c r="E3" t="s">
        <v>23</v>
      </c>
      <c r="F3" t="s">
        <v>24</v>
      </c>
      <c r="G3" s="1"/>
      <c r="H3" t="s">
        <v>25</v>
      </c>
      <c r="I3" t="s">
        <v>26</v>
      </c>
      <c r="J3" t="s">
        <v>19</v>
      </c>
      <c r="K3" t="s">
        <v>27</v>
      </c>
      <c r="L3" t="s">
        <v>28</v>
      </c>
      <c r="M3">
        <v>5</v>
      </c>
      <c r="N3">
        <v>3</v>
      </c>
      <c r="O3" t="s">
        <v>29</v>
      </c>
    </row>
    <row r="4" spans="1:15">
      <c r="A4">
        <v>3</v>
      </c>
      <c r="B4" s="1">
        <v>46313.937974537039</v>
      </c>
      <c r="C4" s="1">
        <v>46313.938819444447</v>
      </c>
      <c r="D4" s="2">
        <f>C4-B4</f>
        <v>8.4490740846376866E-4</v>
      </c>
      <c r="E4" t="s">
        <v>30</v>
      </c>
      <c r="F4" t="s">
        <v>31</v>
      </c>
      <c r="G4" s="1"/>
      <c r="H4" t="s">
        <v>17</v>
      </c>
      <c r="I4" t="s">
        <v>32</v>
      </c>
      <c r="J4" t="s">
        <v>33</v>
      </c>
      <c r="K4" t="s">
        <v>34</v>
      </c>
      <c r="L4" t="s">
        <v>35</v>
      </c>
      <c r="M4">
        <v>3</v>
      </c>
      <c r="N4">
        <v>4</v>
      </c>
      <c r="O4" t="s">
        <v>36</v>
      </c>
    </row>
    <row r="5" spans="1:15">
      <c r="A5">
        <v>4</v>
      </c>
      <c r="B5" s="1">
        <v>46315.497187499997</v>
      </c>
      <c r="C5" s="1">
        <v>46315.497777777775</v>
      </c>
      <c r="D5" s="2">
        <f>C5-B5</f>
        <v>5.9027777751907706E-4</v>
      </c>
      <c r="E5" t="s">
        <v>37</v>
      </c>
      <c r="F5" t="s">
        <v>38</v>
      </c>
      <c r="G5" s="1"/>
      <c r="H5" t="s">
        <v>39</v>
      </c>
      <c r="I5" t="s">
        <v>40</v>
      </c>
      <c r="J5" t="s">
        <v>19</v>
      </c>
      <c r="K5" t="s">
        <v>41</v>
      </c>
      <c r="M5">
        <v>2</v>
      </c>
      <c r="N5">
        <v>3</v>
      </c>
    </row>
    <row r="6" spans="1:15">
      <c r="A6">
        <v>5</v>
      </c>
      <c r="B6" s="1">
        <v>46315.497604166667</v>
      </c>
      <c r="C6" s="1">
        <v>46315.498043981483</v>
      </c>
      <c r="D6" s="2">
        <f>C6-B6</f>
        <v>4.398148157633841E-4</v>
      </c>
      <c r="E6" t="s">
        <v>42</v>
      </c>
      <c r="F6" t="s">
        <v>43</v>
      </c>
      <c r="G6" s="1"/>
      <c r="H6" t="s">
        <v>44</v>
      </c>
      <c r="I6" t="s">
        <v>26</v>
      </c>
      <c r="J6" t="s">
        <v>45</v>
      </c>
      <c r="K6" t="s">
        <v>41</v>
      </c>
      <c r="L6" t="s">
        <v>46</v>
      </c>
      <c r="M6">
        <v>4</v>
      </c>
      <c r="N6">
        <v>4</v>
      </c>
    </row>
    <row r="7" spans="1:15">
      <c r="A7">
        <v>6</v>
      </c>
      <c r="B7" s="1">
        <v>46315.497233796297</v>
      </c>
      <c r="C7" s="1">
        <v>46315.498206018521</v>
      </c>
      <c r="D7" s="2">
        <f>C7-B7</f>
        <v>9.7222222393611446E-4</v>
      </c>
      <c r="E7" t="s">
        <v>47</v>
      </c>
      <c r="F7" t="s">
        <v>48</v>
      </c>
      <c r="G7" s="1"/>
      <c r="H7" t="s">
        <v>44</v>
      </c>
      <c r="I7" t="s">
        <v>49</v>
      </c>
      <c r="J7" t="s">
        <v>19</v>
      </c>
      <c r="K7" t="s">
        <v>20</v>
      </c>
      <c r="L7" t="s">
        <v>50</v>
      </c>
      <c r="M7">
        <v>4</v>
      </c>
      <c r="N7">
        <v>4</v>
      </c>
      <c r="O7" t="s">
        <v>51</v>
      </c>
    </row>
    <row r="8" spans="1:15">
      <c r="A8">
        <v>7</v>
      </c>
      <c r="B8" s="1">
        <v>46315.499062499999</v>
      </c>
      <c r="C8" s="1">
        <v>46315.499618055554</v>
      </c>
      <c r="D8" s="2">
        <f>C8-B8</f>
        <v>5.5555555445607752E-4</v>
      </c>
      <c r="E8" t="s">
        <v>52</v>
      </c>
      <c r="F8" t="s">
        <v>53</v>
      </c>
      <c r="G8" s="1"/>
      <c r="H8" t="s">
        <v>44</v>
      </c>
      <c r="I8" t="s">
        <v>49</v>
      </c>
      <c r="J8" t="s">
        <v>19</v>
      </c>
      <c r="K8" t="s">
        <v>41</v>
      </c>
      <c r="L8" t="s">
        <v>54</v>
      </c>
      <c r="M8">
        <v>4</v>
      </c>
      <c r="N8">
        <v>4</v>
      </c>
      <c r="O8" t="s">
        <v>55</v>
      </c>
    </row>
    <row r="9" spans="1:15">
      <c r="A9">
        <v>8</v>
      </c>
      <c r="B9" s="1">
        <v>46315.497453703705</v>
      </c>
      <c r="C9" s="1">
        <v>46315.982893518521</v>
      </c>
      <c r="D9" s="2">
        <f>C9-B9</f>
        <v>0.48543981481634546</v>
      </c>
      <c r="E9" t="s">
        <v>56</v>
      </c>
      <c r="F9" t="s">
        <v>57</v>
      </c>
      <c r="G9" s="1"/>
      <c r="H9" t="s">
        <v>44</v>
      </c>
      <c r="I9" t="s">
        <v>58</v>
      </c>
      <c r="J9" t="s">
        <v>45</v>
      </c>
      <c r="K9" t="s">
        <v>20</v>
      </c>
      <c r="L9" t="s">
        <v>22</v>
      </c>
      <c r="M9">
        <v>5</v>
      </c>
      <c r="N9">
        <v>5</v>
      </c>
      <c r="O9" t="s">
        <v>22</v>
      </c>
    </row>
    <row r="10" spans="1:15">
      <c r="B10" s="1"/>
      <c r="C10" s="1"/>
      <c r="D10" s="2">
        <f>AVERAGE(D2:D9)</f>
        <v>6.1707175926130731E-2</v>
      </c>
      <c r="G10" s="1"/>
      <c r="H10">
        <f>COUNTIF(H2:H9,"weekly")</f>
        <v>4</v>
      </c>
      <c r="J10">
        <f>COUNTIF(J2:J9,"Reasonable")</f>
        <v>5</v>
      </c>
      <c r="M10">
        <f>SUBTOTAL(101,M2:M9)</f>
        <v>3.75</v>
      </c>
      <c r="N10">
        <f>SUBTOTAL(101,N2:N9)</f>
        <v>3.875</v>
      </c>
    </row>
    <row r="11" spans="1:15">
      <c r="H11">
        <f>SUM(COUNTIF(H2:H9,"Weekly"),COUNTIF(H2:H9,"Monthly"))</f>
        <v>6</v>
      </c>
      <c r="J11">
        <f>COUNTIF(J2:J9,"very affordable")</f>
        <v>2</v>
      </c>
    </row>
    <row r="12" spans="1:15">
      <c r="J12">
        <f>SUM(J10:J11)</f>
        <v>7</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83D61-66D8-4AF0-BCAB-A478010D9F91}">
  <dimension ref="A1:A4"/>
  <sheetViews>
    <sheetView workbookViewId="0">
      <selection activeCell="A4" sqref="A4"/>
    </sheetView>
  </sheetViews>
  <sheetFormatPr defaultRowHeight="15"/>
  <cols>
    <col min="1" max="1" width="67.42578125" customWidth="1"/>
  </cols>
  <sheetData>
    <row r="1" spans="1:1">
      <c r="A1" t="s">
        <v>59</v>
      </c>
    </row>
    <row r="2" spans="1:1">
      <c r="A2" t="s">
        <v>60</v>
      </c>
    </row>
    <row r="3" spans="1:1">
      <c r="A3" t="s">
        <v>61</v>
      </c>
    </row>
    <row r="4" spans="1:1">
      <c r="A4" t="s">
        <v>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CFE85-ED87-4BE0-9D0B-BFCB3C8E3804}">
  <dimension ref="A2:B7"/>
  <sheetViews>
    <sheetView tabSelected="1" workbookViewId="0">
      <selection activeCell="A5" sqref="A5"/>
    </sheetView>
  </sheetViews>
  <sheetFormatPr defaultRowHeight="15"/>
  <cols>
    <col min="1" max="1" width="33.5703125" bestFit="1" customWidth="1"/>
    <col min="2" max="2" width="14.7109375" bestFit="1" customWidth="1"/>
  </cols>
  <sheetData>
    <row r="2" spans="1:2">
      <c r="A2" s="3" t="s">
        <v>7</v>
      </c>
      <c r="B2" t="s">
        <v>63</v>
      </c>
    </row>
    <row r="3" spans="1:2">
      <c r="A3" t="s">
        <v>25</v>
      </c>
      <c r="B3" s="4">
        <v>1</v>
      </c>
    </row>
    <row r="4" spans="1:2">
      <c r="A4" t="s">
        <v>17</v>
      </c>
      <c r="B4" s="4">
        <v>2</v>
      </c>
    </row>
    <row r="5" spans="1:2">
      <c r="A5" t="s">
        <v>39</v>
      </c>
      <c r="B5" s="4">
        <v>1</v>
      </c>
    </row>
    <row r="6" spans="1:2">
      <c r="A6" t="s">
        <v>44</v>
      </c>
      <c r="B6" s="4">
        <v>4</v>
      </c>
    </row>
    <row r="7" spans="1:2">
      <c r="A7" t="s">
        <v>64</v>
      </c>
      <c r="B7" s="4">
        <v>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2026-10-24T23:52:03Z</dcterms:created>
  <dcterms:modified xsi:type="dcterms:W3CDTF">2026-10-25T19:09:44Z</dcterms:modified>
  <cp:category/>
  <cp:contentStatus/>
</cp:coreProperties>
</file>