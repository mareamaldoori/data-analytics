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B8160230-ED9A-42E3-85D2-E97D19FA601B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7" i="1"/>
  <c r="E2" i="1"/>
  <c r="E5" i="1"/>
  <c r="E4" i="1"/>
  <c r="E3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<sst xmlns="http://schemas.openxmlformats.org/spreadsheetml/2006/main" count="11" uniqueCount="11">
  <si>
    <t>Store</t>
  </si>
  <si>
    <t>Monthly Sales</t>
  </si>
  <si>
    <t>Statistic</t>
  </si>
  <si>
    <t>Result</t>
  </si>
  <si>
    <t>Mean</t>
  </si>
  <si>
    <t>Median</t>
  </si>
  <si>
    <t>Mode</t>
  </si>
  <si>
    <t>Range</t>
  </si>
  <si>
    <t>Store H,72 Appears to be a high number unlike the others which range in the 40's and low 50's</t>
  </si>
  <si>
    <t>The deviation decreased when store H got removed. This show that store H has a high value which causae increasing in the data.</t>
  </si>
  <si>
    <t>The stores had an averaqge monthly sales performance of about 49.4. Most of them had simmilar numbers of sale. Store H had sales of 72 which way a lot higher than the other stores. The value increased standard deviation from 2.93 without store H to 7.96 with store H. I wonder why store H had more sales and better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</si>
</sst>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F11" sqref="F11"/>
    </sheetView>
  </sheetViews>
  <sheetFormatPr defaultRowHeight="15"/>
  <cols>
    <col min="1" max="1" width="18.140625" customWidth="1"/>
    <col min="2" max="2" width="18.42578125" customWidth="1"/>
    <col min="4" max="4" width="12.7109375" customWidth="1"/>
    <col min="5" max="5" width="17.85546875" customWidth="1"/>
    <col min="6" max="6" width="80.85546875" customWidth="1"/>
  </cols>
  <sheetData>
    <row r="1" spans="1:6">
      <c r="A1" t="s">
        <v>0</v>
      </c>
      <c r="B1" t="s">
        <v>1</v>
      </c>
      <c r="D1" t="s">
        <v>2</v>
      </c>
      <c r="E1" t="s">
        <v>3</v>
      </c>
    </row>
    <row r="2" spans="1:6">
      <c r="A2" t="str">
        <f>"Store "&amp;CHAR(ROW()+63)</f>
        <v>Store A</v>
      </c>
      <c r="B2">
        <v>51</v>
      </c>
      <c r="D2" t="s">
        <v>4</v>
      </c>
      <c r="E2">
        <f>AVERAGE(B2:B13)</f>
        <v>49.416666666666664</v>
      </c>
    </row>
    <row r="3" spans="1:6">
      <c r="A3" t="str">
        <f t="shared" ref="A3:A13" si="0">"Store "&amp;CHAR(ROW()+63)</f>
        <v>Store B</v>
      </c>
      <c r="B3">
        <v>44</v>
      </c>
      <c r="D3" t="s">
        <v>5</v>
      </c>
      <c r="E3">
        <f>MEDIAN(B2:B13)</f>
        <v>47.5</v>
      </c>
    </row>
    <row r="4" spans="1:6">
      <c r="A4" t="str">
        <f t="shared" si="0"/>
        <v>Store C</v>
      </c>
      <c r="B4">
        <v>49</v>
      </c>
      <c r="D4" t="s">
        <v>6</v>
      </c>
      <c r="E4">
        <f>_xlfn.MODE.SNGL(B2:B13)</f>
        <v>46</v>
      </c>
    </row>
    <row r="5" spans="1:6">
      <c r="A5" t="str">
        <f t="shared" si="0"/>
        <v>Store D</v>
      </c>
      <c r="B5">
        <v>46</v>
      </c>
      <c r="D5" t="s">
        <v>7</v>
      </c>
      <c r="E5">
        <f>MAX(B2:B13)-MIN(B2:B13)</f>
        <v>29</v>
      </c>
    </row>
    <row r="6" spans="1:6">
      <c r="A6" t="str">
        <f t="shared" si="0"/>
        <v>Store E</v>
      </c>
      <c r="B6">
        <v>52</v>
      </c>
    </row>
    <row r="7" spans="1:6">
      <c r="A7" t="str">
        <f t="shared" si="0"/>
        <v>Store F</v>
      </c>
      <c r="B7">
        <v>47</v>
      </c>
      <c r="E7">
        <f>_xlfn.STDEV.S(B2:B13)</f>
        <v>7.6331613054586773</v>
      </c>
    </row>
    <row r="8" spans="1:6">
      <c r="A8" t="str">
        <f t="shared" si="0"/>
        <v>Store G</v>
      </c>
      <c r="B8">
        <v>45</v>
      </c>
      <c r="E8">
        <f>_xlfn.STDEV.S(B2:B8,B10:B13)</f>
        <v>2.9076701075853588</v>
      </c>
    </row>
    <row r="9" spans="1:6">
      <c r="A9" t="str">
        <f t="shared" si="0"/>
        <v>Store H</v>
      </c>
      <c r="B9">
        <v>72</v>
      </c>
      <c r="F9" t="s">
        <v>8</v>
      </c>
    </row>
    <row r="10" spans="1:6">
      <c r="A10" t="str">
        <f t="shared" si="0"/>
        <v>Store I</v>
      </c>
      <c r="B10">
        <v>43</v>
      </c>
      <c r="F10" t="s">
        <v>9</v>
      </c>
    </row>
    <row r="11" spans="1:6">
      <c r="A11" t="str">
        <f t="shared" si="0"/>
        <v>Store J</v>
      </c>
      <c r="B11">
        <v>48</v>
      </c>
    </row>
    <row r="12" spans="1:6">
      <c r="A12" t="str">
        <f t="shared" si="0"/>
        <v>Store K</v>
      </c>
      <c r="B12">
        <v>46</v>
      </c>
    </row>
    <row r="13" spans="1:6">
      <c r="A13" t="str">
        <f t="shared" si="0"/>
        <v>Store L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ADED-ACED-4120-9D86-03C53931BCB2}">
  <dimension ref="A1"/>
  <sheetViews>
    <sheetView tabSelected="1" workbookViewId="0"/>
  </sheetViews>
  <sheetFormatPr defaultRowHeight="15"/>
  <cols>
    <col min="1" max="1" width="46.5703125" customWidth="1"/>
  </cols>
  <sheetData>
    <row r="1" spans="1:1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2026-10-04T21:38:27Z</dcterms:created>
  <dcterms:modified xsi:type="dcterms:W3CDTF">2026-10-04T22:18:24Z</dcterms:modified>
  <cp:category/>
  <cp:contentStatus/>
</cp:coreProperties>
</file>